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Jonah\Downloads\"/>
    </mc:Choice>
  </mc:AlternateContent>
  <xr:revisionPtr revIDLastSave="0" documentId="8_{53759445-3D50-4A15-8B7F-21E1C52397DF}" xr6:coauthVersionLast="47" xr6:coauthVersionMax="47" xr10:uidLastSave="{00000000-0000-0000-0000-000000000000}"/>
  <bookViews>
    <workbookView xWindow="-110" yWindow="-110" windowWidth="19420" windowHeight="10300" activeTab="5" xr2:uid="{740FD8DC-7B53-4E78-8E3A-26D1AA96C0C6}"/>
  </bookViews>
  <sheets>
    <sheet name="Question 1" sheetId="2" r:id="rId1"/>
    <sheet name="Question 2" sheetId="3" r:id="rId2"/>
    <sheet name="Question 3" sheetId="4" r:id="rId3"/>
    <sheet name="Question 4" sheetId="5" r:id="rId4"/>
    <sheet name="Question 5" sheetId="6" r:id="rId5"/>
    <sheet name="Question 6" sheetId="8" r:id="rId6"/>
  </sheets>
  <definedNames>
    <definedName name="_xlchart.v1.0" hidden="1">'Question 2'!$A$1</definedName>
    <definedName name="_xlchart.v1.1" hidden="1">'Question 2'!$A$2:$A$41</definedName>
    <definedName name="_xlchart.v1.2" hidden="1">'Question 2'!$A$1</definedName>
    <definedName name="_xlchart.v1.3" hidden="1">'Question 2'!$A$2:$A$41</definedName>
  </definedNames>
  <calcPr calcId="191029"/>
  <pivotCaches>
    <pivotCache cacheId="1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3" l="1"/>
  <c r="F27" i="3"/>
  <c r="E27" i="3"/>
  <c r="D27" i="3"/>
  <c r="D11" i="5"/>
  <c r="C11" i="5"/>
  <c r="B11" i="5"/>
  <c r="F9" i="3"/>
  <c r="F6" i="3"/>
  <c r="F7" i="3"/>
  <c r="F8" i="3"/>
  <c r="F5" i="3"/>
  <c r="F4" i="3"/>
  <c r="E9" i="3"/>
</calcChain>
</file>

<file path=xl/sharedStrings.xml><?xml version="1.0" encoding="utf-8"?>
<sst xmlns="http://schemas.openxmlformats.org/spreadsheetml/2006/main" count="106" uniqueCount="83">
  <si>
    <t>Question</t>
  </si>
  <si>
    <t>Type</t>
  </si>
  <si>
    <t>What is your age?</t>
  </si>
  <si>
    <t>Are you male or female?</t>
  </si>
  <si>
    <t>When did you first start reading the WSJ? High school, college, early career, midcareer, late career, or retirement?</t>
  </si>
  <si>
    <t>How long have you been in yout present job or position (in years)?</t>
  </si>
  <si>
    <t xml:space="preserve">What type of vehivle are you considering for your next purchase? Nine response categories include sedan, sports car, SUV, minivan, and so on. </t>
  </si>
  <si>
    <t>Data</t>
  </si>
  <si>
    <t xml:space="preserve">Year      </t>
  </si>
  <si>
    <t xml:space="preserve">Stivers ($) </t>
  </si>
  <si>
    <t>Trippi ($)</t>
  </si>
  <si>
    <t>Salesperson</t>
  </si>
  <si>
    <t>Total Sales ($)</t>
  </si>
  <si>
    <t>Average Performance Bonus Previous Years ($)</t>
  </si>
  <si>
    <t>Customer Accounts</t>
  </si>
  <si>
    <t>Years with Company</t>
  </si>
  <si>
    <t>Smith, Michael</t>
  </si>
  <si>
    <t>Yu, Joe</t>
  </si>
  <si>
    <t>Reeves, Bill</t>
  </si>
  <si>
    <t>Hamilton, Joshua</t>
  </si>
  <si>
    <t>Harper, Derek</t>
  </si>
  <si>
    <t>Quinn, Dorothy</t>
  </si>
  <si>
    <t>Graves, Lorrie</t>
  </si>
  <si>
    <t>Sun, Yi</t>
  </si>
  <si>
    <t>Thompson, Nicole</t>
  </si>
  <si>
    <t>Franchise</t>
  </si>
  <si>
    <t># U.S. Locations</t>
  </si>
  <si>
    <t>Hampton Inns</t>
  </si>
  <si>
    <t>ampm</t>
  </si>
  <si>
    <t>McDonald's</t>
  </si>
  <si>
    <t>7-Eleven, Inc.</t>
  </si>
  <si>
    <t>Supercuts</t>
  </si>
  <si>
    <t>Days Inn</t>
  </si>
  <si>
    <t>Vanguard Cleaning Systems</t>
  </si>
  <si>
    <t>Servpro</t>
  </si>
  <si>
    <t>Subway</t>
  </si>
  <si>
    <t>Denny's Inc.</t>
  </si>
  <si>
    <t>Jan-Pro Franchising Intl Inc.</t>
  </si>
  <si>
    <t>Hardee's</t>
  </si>
  <si>
    <t>Pizza Hut Inc.</t>
  </si>
  <si>
    <t>Kumon Math &amp; Reading Centers</t>
  </si>
  <si>
    <t>Dunkin' Donuts</t>
  </si>
  <si>
    <t>KFC Corp.</t>
  </si>
  <si>
    <t>Jazzercise Inc.</t>
  </si>
  <si>
    <t>Anytime Fitness</t>
  </si>
  <si>
    <t>Matco Tools</t>
  </si>
  <si>
    <t>Stratus Building Solutions</t>
  </si>
  <si>
    <t>Observation</t>
  </si>
  <si>
    <t>x</t>
  </si>
  <si>
    <t>y</t>
  </si>
  <si>
    <t>Categorical</t>
  </si>
  <si>
    <t>Quantitative</t>
  </si>
  <si>
    <t>A. Quantitative</t>
  </si>
  <si>
    <t>Bins</t>
  </si>
  <si>
    <t>Counts</t>
  </si>
  <si>
    <t>Relative Frequency</t>
  </si>
  <si>
    <t>Percent Frequency</t>
  </si>
  <si>
    <t>15-17</t>
  </si>
  <si>
    <t>18-20</t>
  </si>
  <si>
    <t>21-23</t>
  </si>
  <si>
    <t>24-26</t>
  </si>
  <si>
    <t>Total</t>
  </si>
  <si>
    <t>B. &amp; C.</t>
  </si>
  <si>
    <t>D.</t>
  </si>
  <si>
    <t>E.</t>
  </si>
  <si>
    <t xml:space="preserve">A. </t>
  </si>
  <si>
    <t>Stivers</t>
  </si>
  <si>
    <t>Trippi</t>
  </si>
  <si>
    <t>Spent 10, Gained 8, difference of -2</t>
  </si>
  <si>
    <t>Spent 5, gained 5.6, difference of + 0.6</t>
  </si>
  <si>
    <t>Stivers performed better over this period as they gained $8,000.</t>
  </si>
  <si>
    <t xml:space="preserve">While Trippi only gained $5,600, but started to make money back. </t>
  </si>
  <si>
    <t>Row Labels</t>
  </si>
  <si>
    <t>Grand Total</t>
  </si>
  <si>
    <t>Sum of # U.S. Locations</t>
  </si>
  <si>
    <t>C. 3</t>
  </si>
  <si>
    <t>B. 12</t>
  </si>
  <si>
    <t>20th</t>
  </si>
  <si>
    <t>25th</t>
  </si>
  <si>
    <t>65th</t>
  </si>
  <si>
    <t>75th</t>
  </si>
  <si>
    <t>12-14</t>
  </si>
  <si>
    <t>B. I would say that the two variables are negatively skewed and are highly correlated.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</si>
</sst>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2"/>
      <name val="Times New Roman"/>
      <family val="1"/>
    </font>
    <font>
      <b/>
      <sz val="12"/>
      <color theme="1"/>
      <name val="Times New Roman"/>
      <family val="1"/>
    </font>
    <font>
      <sz val="12"/>
      <color theme="1"/>
      <name val="Times New Roman"/>
      <family val="1"/>
    </font>
    <font>
      <sz val="12"/>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0" fontId="2" fillId="0" borderId="1" xfId="0" applyFont="1" applyBorder="1"/>
    <xf numFmtId="0" fontId="0" fillId="0" borderId="1" xfId="0" applyBorder="1" applyAlignment="1">
      <alignment wrapText="1"/>
    </xf>
    <xf numFmtId="0" fontId="0" fillId="0" borderId="1" xfId="0" applyBorder="1"/>
    <xf numFmtId="0" fontId="3" fillId="0" borderId="0" xfId="0" applyFont="1" applyAlignment="1">
      <alignment horizontal="center"/>
    </xf>
    <xf numFmtId="0" fontId="0" fillId="0" borderId="0" xfId="0" applyAlignment="1">
      <alignment horizontal="center"/>
    </xf>
    <xf numFmtId="0" fontId="4" fillId="0" borderId="0" xfId="0" applyFont="1" applyAlignment="1">
      <alignment vertical="center"/>
    </xf>
    <xf numFmtId="0" fontId="4" fillId="0" borderId="0" xfId="0" applyFont="1"/>
    <xf numFmtId="0" fontId="5" fillId="0" borderId="0" xfId="0" applyFont="1" applyAlignment="1">
      <alignment vertical="center"/>
    </xf>
    <xf numFmtId="0" fontId="4" fillId="0" borderId="1" xfId="0" applyFont="1" applyBorder="1" applyAlignment="1">
      <alignment horizontal="center"/>
    </xf>
    <xf numFmtId="0" fontId="4" fillId="0" borderId="2" xfId="0" applyFont="1" applyBorder="1"/>
    <xf numFmtId="0" fontId="4" fillId="0" borderId="2" xfId="0" applyFont="1" applyBorder="1" applyAlignment="1">
      <alignment horizontal="right"/>
    </xf>
    <xf numFmtId="165" fontId="0" fillId="0" borderId="0" xfId="1" applyNumberFormat="1" applyFont="1"/>
    <xf numFmtId="0" fontId="6" fillId="0" borderId="0" xfId="0" applyFont="1" applyAlignment="1">
      <alignment horizontal="center"/>
    </xf>
    <xf numFmtId="0" fontId="6" fillId="0" borderId="0" xfId="0" applyFont="1"/>
    <xf numFmtId="0" fontId="2" fillId="0" borderId="0" xfId="0" applyFont="1"/>
    <xf numFmtId="2" fontId="0" fillId="0" borderId="0" xfId="0" applyNumberFormat="1"/>
    <xf numFmtId="0" fontId="0" fillId="0" borderId="0" xfId="0" applyFont="1"/>
    <xf numFmtId="9" fontId="0" fillId="0" borderId="0" xfId="0" applyNumberFormat="1"/>
    <xf numFmtId="10" fontId="0" fillId="0" borderId="0" xfId="0" applyNumberFormat="1"/>
    <xf numFmtId="0" fontId="5" fillId="0" borderId="1" xfId="0" applyFont="1" applyBorder="1" applyAlignment="1">
      <alignment horizontal="center"/>
    </xf>
    <xf numFmtId="164" fontId="0" fillId="0" borderId="0" xfId="0" applyNumberFormat="1"/>
    <xf numFmtId="1" fontId="5" fillId="0" borderId="1"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49" fontId="0" fillId="0" borderId="0" xfId="0" applyNumberFormat="1" applyFont="1"/>
  </cellXfs>
  <cellStyles count="2">
    <cellStyle name="Comma" xfId="1" builtinId="3"/>
    <cellStyle name="Normal" xfId="0" builtinId="0"/>
  </cellStyles>
  <dxfs count="3">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[Problem Set 3_Jonah Wendt2.xlsx]Question 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5'!$B$23</c:f>
              <c:strCache>
                <c:ptCount val="1"/>
                <c:pt idx="0">
                  <c:v>Total</c:v>
                </c:pt>
              </c:strCache>
            </c:strRef>
          </c:tx>
          <c:spPr>
            <a:solidFill>
              <a:schemeClr val="accent1"/>
            </a:solidFill>
            <a:ln>
              <a:noFill/>
            </a:ln>
            <a:effectLst/>
          </c:spPr>
          <c:invertIfNegative val="0"/>
          <c:cat>
            <c:strRef>
              <c:f>'Question 5'!$A$24:$A$44</c:f>
              <c:strCache>
                <c:ptCount val="20"/>
                <c:pt idx="0">
                  <c:v>7-Eleven, Inc.</c:v>
                </c:pt>
                <c:pt idx="1">
                  <c:v>ampm</c:v>
                </c:pt>
                <c:pt idx="2">
                  <c:v>Anytime Fitness</c:v>
                </c:pt>
                <c:pt idx="3">
                  <c:v>Days Inn</c:v>
                </c:pt>
                <c:pt idx="4">
                  <c:v>Denny's Inc.</c:v>
                </c:pt>
                <c:pt idx="5">
                  <c:v>Dunkin' Donuts</c:v>
                </c:pt>
                <c:pt idx="6">
                  <c:v>Hampton Inns</c:v>
                </c:pt>
                <c:pt idx="7">
                  <c:v>Hardee's</c:v>
                </c:pt>
                <c:pt idx="8">
                  <c:v>Jan-Pro Franchising Intl Inc.</c:v>
                </c:pt>
                <c:pt idx="9">
                  <c:v>Jazzercise Inc.</c:v>
                </c:pt>
                <c:pt idx="10">
                  <c:v>KFC Corp.</c:v>
                </c:pt>
                <c:pt idx="11">
                  <c:v>Kumon Math &amp; Reading Centers</c:v>
                </c:pt>
                <c:pt idx="12">
                  <c:v>Matco Tools</c:v>
                </c:pt>
                <c:pt idx="13">
                  <c:v>McDonald's</c:v>
                </c:pt>
                <c:pt idx="14">
                  <c:v>Pizza Hut Inc.</c:v>
                </c:pt>
                <c:pt idx="15">
                  <c:v>Servpro</c:v>
                </c:pt>
                <c:pt idx="16">
                  <c:v>Stratus Building Solutions</c:v>
                </c:pt>
                <c:pt idx="17">
                  <c:v>Subway</c:v>
                </c:pt>
                <c:pt idx="18">
                  <c:v>Supercuts</c:v>
                </c:pt>
                <c:pt idx="19">
                  <c:v>Vanguard Cleaning Systems</c:v>
                </c:pt>
              </c:strCache>
            </c:strRef>
          </c:cat>
          <c:val>
            <c:numRef>
              <c:f>'Question 5'!$B$24:$B$44</c:f>
              <c:numCache>
                <c:formatCode>General</c:formatCode>
                <c:ptCount val="20"/>
                <c:pt idx="0">
                  <c:v>37496</c:v>
                </c:pt>
                <c:pt idx="1">
                  <c:v>3183</c:v>
                </c:pt>
                <c:pt idx="2">
                  <c:v>1618</c:v>
                </c:pt>
                <c:pt idx="3">
                  <c:v>1877</c:v>
                </c:pt>
                <c:pt idx="4">
                  <c:v>1668</c:v>
                </c:pt>
                <c:pt idx="5">
                  <c:v>9947</c:v>
                </c:pt>
                <c:pt idx="6">
                  <c:v>1864</c:v>
                </c:pt>
                <c:pt idx="7">
                  <c:v>1901</c:v>
                </c:pt>
                <c:pt idx="8">
                  <c:v>12394</c:v>
                </c:pt>
                <c:pt idx="9">
                  <c:v>7683</c:v>
                </c:pt>
                <c:pt idx="10">
                  <c:v>16224</c:v>
                </c:pt>
                <c:pt idx="11">
                  <c:v>25199</c:v>
                </c:pt>
                <c:pt idx="12">
                  <c:v>1431</c:v>
                </c:pt>
                <c:pt idx="13">
                  <c:v>32805</c:v>
                </c:pt>
                <c:pt idx="14">
                  <c:v>13281</c:v>
                </c:pt>
                <c:pt idx="15">
                  <c:v>1572</c:v>
                </c:pt>
                <c:pt idx="16">
                  <c:v>5018</c:v>
                </c:pt>
                <c:pt idx="17">
                  <c:v>34871</c:v>
                </c:pt>
                <c:pt idx="18">
                  <c:v>2130</c:v>
                </c:pt>
                <c:pt idx="19">
                  <c:v>2155</c:v>
                </c:pt>
              </c:numCache>
            </c:numRef>
          </c:val>
          <c:extLst>
            <c:ext xmlns:c16="http://schemas.microsoft.com/office/drawing/2014/chart" uri="{C3380CC4-5D6E-409C-BE32-E72D297353CC}">
              <c16:uniqueId val="{00000000-BCB5-427E-92C5-BA8011129139}"/>
            </c:ext>
          </c:extLst>
        </c:ser>
        <c:dLbls>
          <c:showLegendKey val="0"/>
          <c:showVal val="0"/>
          <c:showCatName val="0"/>
          <c:showSerName val="0"/>
          <c:showPercent val="0"/>
          <c:showBubbleSize val="0"/>
        </c:dLbls>
        <c:gapWidth val="219"/>
        <c:overlap val="-27"/>
        <c:axId val="1026760175"/>
        <c:axId val="1026761135"/>
      </c:barChart>
      <c:catAx>
        <c:axId val="10267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61135"/>
        <c:crosses val="autoZero"/>
        <c:auto val="1"/>
        <c:lblAlgn val="ctr"/>
        <c:lblOffset val="100"/>
        <c:noMultiLvlLbl val="0"/>
      </c:catAx>
      <c:valAx>
        <c:axId val="102676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6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'Question 6'!$B$2:$B$21</c:f>
              <c:numCache>
                <c:formatCode>General</c:formatCode>
                <c:ptCount val="20"/>
                <c:pt idx="0">
                  <c:v>-22</c:v>
                </c:pt>
                <c:pt idx="1">
                  <c:v>-33</c:v>
                </c:pt>
                <c:pt idx="2">
                  <c:v>2</c:v>
                </c:pt>
                <c:pt idx="3">
                  <c:v>29</c:v>
                </c:pt>
                <c:pt idx="4">
                  <c:v>-13</c:v>
                </c:pt>
                <c:pt idx="5">
                  <c:v>21</c:v>
                </c:pt>
                <c:pt idx="6">
                  <c:v>-13</c:v>
                </c:pt>
                <c:pt idx="7">
                  <c:v>-23</c:v>
                </c:pt>
                <c:pt idx="8">
                  <c:v>14</c:v>
                </c:pt>
                <c:pt idx="9">
                  <c:v>3</c:v>
                </c:pt>
                <c:pt idx="10">
                  <c:v>-37</c:v>
                </c:pt>
                <c:pt idx="11">
                  <c:v>34</c:v>
                </c:pt>
                <c:pt idx="12">
                  <c:v>9</c:v>
                </c:pt>
                <c:pt idx="13">
                  <c:v>-33</c:v>
                </c:pt>
                <c:pt idx="14">
                  <c:v>20</c:v>
                </c:pt>
                <c:pt idx="15">
                  <c:v>-3</c:v>
                </c:pt>
                <c:pt idx="16">
                  <c:v>-15</c:v>
                </c:pt>
                <c:pt idx="17">
                  <c:v>12</c:v>
                </c:pt>
                <c:pt idx="18">
                  <c:v>-20</c:v>
                </c:pt>
                <c:pt idx="19">
                  <c:v>-7</c:v>
                </c:pt>
              </c:numCache>
            </c:numRef>
          </c:xVal>
          <c:yVal>
            <c:numRef>
              <c:f>'Question 6'!$C$2:$C$21</c:f>
              <c:numCache>
                <c:formatCode>General</c:formatCode>
                <c:ptCount val="20"/>
                <c:pt idx="0">
                  <c:v>22</c:v>
                </c:pt>
                <c:pt idx="1">
                  <c:v>49</c:v>
                </c:pt>
                <c:pt idx="2">
                  <c:v>8</c:v>
                </c:pt>
                <c:pt idx="3">
                  <c:v>-16</c:v>
                </c:pt>
                <c:pt idx="4">
                  <c:v>10</c:v>
                </c:pt>
                <c:pt idx="5">
                  <c:v>-28</c:v>
                </c:pt>
                <c:pt idx="6">
                  <c:v>27</c:v>
                </c:pt>
                <c:pt idx="7">
                  <c:v>35</c:v>
                </c:pt>
                <c:pt idx="8">
                  <c:v>-5</c:v>
                </c:pt>
                <c:pt idx="9">
                  <c:v>-3</c:v>
                </c:pt>
                <c:pt idx="10">
                  <c:v>48</c:v>
                </c:pt>
                <c:pt idx="11">
                  <c:v>-29</c:v>
                </c:pt>
                <c:pt idx="12">
                  <c:v>-18</c:v>
                </c:pt>
                <c:pt idx="13">
                  <c:v>31</c:v>
                </c:pt>
                <c:pt idx="14">
                  <c:v>-16</c:v>
                </c:pt>
                <c:pt idx="15">
                  <c:v>14</c:v>
                </c:pt>
                <c:pt idx="16">
                  <c:v>18</c:v>
                </c:pt>
                <c:pt idx="17">
                  <c:v>17</c:v>
                </c:pt>
                <c:pt idx="18">
                  <c:v>-11</c:v>
                </c:pt>
                <c:pt idx="19">
                  <c:v>-22</c:v>
                </c:pt>
              </c:numCache>
            </c:numRef>
          </c:yVal>
          <c:smooth val="0"/>
          <c:extLst>
            <c:ext xmlns:c16="http://schemas.microsoft.com/office/drawing/2014/chart" uri="{C3380CC4-5D6E-409C-BE32-E72D297353CC}">
              <c16:uniqueId val="{00000000-04A9-4FD2-B896-4AA4F0E77516}"/>
            </c:ext>
          </c:extLst>
        </c:ser>
        <c:dLbls>
          <c:showLegendKey val="0"/>
          <c:showVal val="0"/>
          <c:showCatName val="0"/>
          <c:showSerName val="0"/>
          <c:showPercent val="0"/>
          <c:showBubbleSize val="0"/>
        </c:dLbls>
        <c:axId val="1024610671"/>
        <c:axId val="1024611151"/>
      </c:scatterChart>
      <c:valAx>
        <c:axId val="102461067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11151"/>
        <c:crosses val="autoZero"/>
        <c:crossBetween val="midCat"/>
      </c:valAx>
      <c:valAx>
        <c:axId val="102461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106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Data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Data</a:t>
          </a:r>
        </a:p>
      </cx:txPr>
    </cx:title>
    <cx:plotArea>
      <cx:plotAreaRegion>
        <cx:series layoutId="clusteredColumn" uniqueId="{DDE2DA63-5D10-477C-8851-E541AB80E19B}">
          <cx:tx>
            <cx:txData>
              <cx:f>_xlchart.v1.0</cx:f>
              <cx:v>Data</cx:v>
            </cx:txData>
          </cx:tx>
          <cx:dataLabels>
            <cx:visibility seriesName="0" categoryName="0" value="1"/>
          </cx:dataLabels>
          <cx:dataId val="0"/>
          <cx:layoutPr>
            <cx:binning intervalClosed="r">
              <cx:binSize val="3"/>
            </cx:binning>
          </cx:layoutPr>
        </cx:series>
      </cx:plotAreaRegion>
      <cx:axis id="0">
        <cx:catScaling gapWidth="0"/>
        <cx:title>
          <cx:tx>
            <cx:txData>
              <cx:v>Bin Width</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Bin Width</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257175</xdr:colOff>
      <xdr:row>2</xdr:row>
      <xdr:rowOff>76200</xdr:rowOff>
    </xdr:from>
    <xdr:ext cx="5105400" cy="790575"/>
    <xdr:sp macro="" textlink="">
      <xdr:nvSpPr>
        <xdr:cNvPr id="2" name="Shape 3">
          <a:extLst>
            <a:ext uri="{FF2B5EF4-FFF2-40B4-BE49-F238E27FC236}">
              <a16:creationId xmlns:a16="http://schemas.microsoft.com/office/drawing/2014/main" id="{4F4517BC-5858-43B5-B8D2-18117D684EEE}"/>
            </a:ext>
          </a:extLst>
        </xdr:cNvPr>
        <xdr:cNvSpPr txBox="1"/>
      </xdr:nvSpPr>
      <xdr:spPr>
        <a:xfrm>
          <a:off x="6029325" y="457200"/>
          <a:ext cx="5105400" cy="7905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solidFill>
                <a:schemeClr val="dk1"/>
              </a:solidFill>
              <a:latin typeface="+mn-lt"/>
              <a:ea typeface="Calibri"/>
              <a:cs typeface="Calibri"/>
              <a:sym typeface="Calibri"/>
            </a:rPr>
            <a:t>1. A Wall Street Journal</a:t>
          </a:r>
          <a:r>
            <a:rPr lang="en-US" sz="1200" baseline="0">
              <a:solidFill>
                <a:schemeClr val="dk1"/>
              </a:solidFill>
              <a:latin typeface="+mn-lt"/>
              <a:ea typeface="Calibri"/>
              <a:cs typeface="Calibri"/>
              <a:sym typeface="Calibri"/>
            </a:rPr>
            <a:t> subscriber survey asked 46 questions about subscriber characteristics and interests. State whether each of the questions to the left provides categorical or quantitative data.</a:t>
          </a: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152400</xdr:colOff>
      <xdr:row>1</xdr:row>
      <xdr:rowOff>15874</xdr:rowOff>
    </xdr:from>
    <xdr:ext cx="5105400" cy="2943225"/>
    <xdr:sp macro="" textlink="">
      <xdr:nvSpPr>
        <xdr:cNvPr id="2" name="Shape 3">
          <a:extLst>
            <a:ext uri="{FF2B5EF4-FFF2-40B4-BE49-F238E27FC236}">
              <a16:creationId xmlns:a16="http://schemas.microsoft.com/office/drawing/2014/main" id="{63E7B589-2F68-4EED-81D4-E6C957F2BFBC}"/>
            </a:ext>
          </a:extLst>
        </xdr:cNvPr>
        <xdr:cNvSpPr txBox="1"/>
      </xdr:nvSpPr>
      <xdr:spPr>
        <a:xfrm>
          <a:off x="6375400" y="212724"/>
          <a:ext cx="5105400" cy="29432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effectLst/>
              <a:latin typeface="+mn-lt"/>
            </a:rPr>
            <a:t>2.</a:t>
          </a:r>
          <a:r>
            <a:rPr lang="en-US" sz="1200" baseline="0">
              <a:effectLst/>
              <a:latin typeface="+mn-lt"/>
            </a:rPr>
            <a:t> Consider the Following Data.</a:t>
          </a:r>
        </a:p>
        <a:p>
          <a:pPr marL="0" lvl="0" indent="0">
            <a:spcBef>
              <a:spcPts val="0"/>
            </a:spcBef>
            <a:spcAft>
              <a:spcPts val="0"/>
            </a:spcAft>
            <a:buNone/>
          </a:pPr>
          <a:endParaRPr lang="en-US" sz="1200" baseline="0">
            <a:effectLst/>
            <a:latin typeface="+mn-l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effectLst/>
              <a:latin typeface="+mn-lt"/>
            </a:rPr>
            <a:t>A. </a:t>
          </a:r>
          <a:r>
            <a:rPr lang="en-US" sz="1100">
              <a:effectLst/>
              <a:latin typeface="+mn-lt"/>
              <a:ea typeface="+mn-ea"/>
              <a:cs typeface="+mn-cs"/>
            </a:rPr>
            <a:t>Are these data</a:t>
          </a:r>
          <a:r>
            <a:rPr lang="en-US" sz="1100" baseline="0">
              <a:effectLst/>
              <a:latin typeface="+mn-lt"/>
              <a:ea typeface="+mn-ea"/>
              <a:cs typeface="+mn-cs"/>
            </a:rPr>
            <a:t> categorical or quantitative?</a:t>
          </a:r>
          <a:endParaRPr lang="en-US" sz="1200">
            <a:effectLs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frequency distribution using classes of 12-14, 15-17, 18-20, 21-23, and 24-26.</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relative frequency distribution and a percent frequency distribution using the classes in part A.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Create a histogram graph using the bins from part A.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Compute the 20th, 25th, 65th, and 75th percentiles. </a:t>
          </a:r>
          <a:endParaRPr lang="en-US" sz="1200">
            <a:effectLst/>
            <a:latin typeface="+mn-lt"/>
          </a:endParaRPr>
        </a:p>
      </xdr:txBody>
    </xdr:sp>
    <xdr:clientData fLocksWithSheet="0"/>
  </xdr:oneCellAnchor>
  <xdr:twoCellAnchor>
    <xdr:from>
      <xdr:col>2</xdr:col>
      <xdr:colOff>320675</xdr:colOff>
      <xdr:row>10</xdr:row>
      <xdr:rowOff>12700</xdr:rowOff>
    </xdr:from>
    <xdr:to>
      <xdr:col>6</xdr:col>
      <xdr:colOff>1038225</xdr:colOff>
      <xdr:row>24</xdr:row>
      <xdr:rowOff>177800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F52B3D6-D318-90DB-0339-6673E61331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39875" y="1866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4</xdr:col>
      <xdr:colOff>314325</xdr:colOff>
      <xdr:row>1</xdr:row>
      <xdr:rowOff>28575</xdr:rowOff>
    </xdr:from>
    <xdr:ext cx="5105400" cy="1266825"/>
    <xdr:sp macro="" textlink="">
      <xdr:nvSpPr>
        <xdr:cNvPr id="2" name="Shape 3">
          <a:extLst>
            <a:ext uri="{FF2B5EF4-FFF2-40B4-BE49-F238E27FC236}">
              <a16:creationId xmlns:a16="http://schemas.microsoft.com/office/drawing/2014/main" id="{680E4DAA-97F9-4853-BD64-20069591B2F8}"/>
            </a:ext>
          </a:extLst>
        </xdr:cNvPr>
        <xdr:cNvSpPr txBox="1"/>
      </xdr:nvSpPr>
      <xdr:spPr>
        <a:xfrm>
          <a:off x="2752725" y="225425"/>
          <a:ext cx="5105400" cy="12668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effectLst/>
              <a:latin typeface="+mn-lt"/>
            </a:rPr>
            <a:t>3. Suppose that you</a:t>
          </a:r>
          <a:r>
            <a:rPr lang="en-US" sz="1200" baseline="0">
              <a:effectLst/>
              <a:latin typeface="+mn-lt"/>
            </a:rPr>
            <a:t> initially invested $10,000 in the Stivers mutual fund and $5,000 in the Trippi mutual fund. The value of each investment at the end of each subsequent year is provided in the table.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Which of the two mutual funds performed better over this period? Why?</a:t>
          </a:r>
          <a:endParaRPr lang="en-US" sz="1200">
            <a:effectLst/>
            <a:latin typeface="+mn-l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292100</xdr:colOff>
      <xdr:row>1</xdr:row>
      <xdr:rowOff>38099</xdr:rowOff>
    </xdr:from>
    <xdr:ext cx="5105400" cy="3467101"/>
    <xdr:sp macro="" textlink="">
      <xdr:nvSpPr>
        <xdr:cNvPr id="2" name="Shape 3">
          <a:extLst>
            <a:ext uri="{FF2B5EF4-FFF2-40B4-BE49-F238E27FC236}">
              <a16:creationId xmlns:a16="http://schemas.microsoft.com/office/drawing/2014/main" id="{C42BA38D-4424-4BED-A9CF-140633837152}"/>
            </a:ext>
          </a:extLst>
        </xdr:cNvPr>
        <xdr:cNvSpPr txBox="1"/>
      </xdr:nvSpPr>
      <xdr:spPr>
        <a:xfrm>
          <a:off x="9493250" y="234949"/>
          <a:ext cx="5105400" cy="346710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effectLst/>
              <a:latin typeface="+mn-lt"/>
            </a:rPr>
            <a:t>4. A sales</a:t>
          </a:r>
          <a:r>
            <a:rPr lang="en-US" sz="1200" baseline="0">
              <a:effectLst/>
              <a:latin typeface="+mn-lt"/>
            </a:rPr>
            <a:t> manager is trying to determine appropriate sales performance bonuses for her team this year. The following table contains the data relevant to determining the bonuses, but it is not easy to read and interpret. Reformat the table to improve readability and to help the sales manager maker her decisions about bonuses. List each step you make to refort the table.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1. Unbolded the data but left the headings bolded.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2. Highlighted above average "Total Sales"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3. Highlighted above average "Average Performance Bonus Previous Years"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4. Highlighted above average "Customer Accounts"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5. Removed decimal places from "Total Sales" and "Average Performance Bonus Previous Years"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6. Put names in alphabetical order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257175</xdr:colOff>
      <xdr:row>0</xdr:row>
      <xdr:rowOff>73025</xdr:rowOff>
    </xdr:from>
    <xdr:ext cx="5105400" cy="3038475"/>
    <xdr:sp macro="" textlink="">
      <xdr:nvSpPr>
        <xdr:cNvPr id="2" name="Shape 3">
          <a:extLst>
            <a:ext uri="{FF2B5EF4-FFF2-40B4-BE49-F238E27FC236}">
              <a16:creationId xmlns:a16="http://schemas.microsoft.com/office/drawing/2014/main" id="{42325283-419D-4F1D-BB71-F6EF144AB3E6}"/>
            </a:ext>
          </a:extLst>
        </xdr:cNvPr>
        <xdr:cNvSpPr txBox="1"/>
      </xdr:nvSpPr>
      <xdr:spPr>
        <a:xfrm>
          <a:off x="6143625" y="73025"/>
          <a:ext cx="5105400" cy="30384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5. Entrepreneur magazine ranks franchises. Among the factors that the magazine uses in its rankings are growth rate, number of locations, start-up costs, and financial stability. A recent ranking listed the top 20 U.S. franchises and the number of locations as in the table.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Create a PivotTable to summarize these data using classes 0-9,999, 10,000-19,999, 20,000-29,999, and 30,000-39,999 to answer the next questions. (Hint: Use Number of U.S. Locations as the COLUMNS, and use Count of Number of U.S. Locations as the VALUES in the PivotTable.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How many franchises have between 0 and 9,999 locations?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How many franchises have more than 30,000 locations?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2</xdr:col>
      <xdr:colOff>114300</xdr:colOff>
      <xdr:row>22</xdr:row>
      <xdr:rowOff>15875</xdr:rowOff>
    </xdr:from>
    <xdr:to>
      <xdr:col>9</xdr:col>
      <xdr:colOff>419100</xdr:colOff>
      <xdr:row>36</xdr:row>
      <xdr:rowOff>180975</xdr:rowOff>
    </xdr:to>
    <xdr:graphicFrame macro="">
      <xdr:nvGraphicFramePr>
        <xdr:cNvPr id="4" name="Chart 3">
          <a:extLst>
            <a:ext uri="{FF2B5EF4-FFF2-40B4-BE49-F238E27FC236}">
              <a16:creationId xmlns:a16="http://schemas.microsoft.com/office/drawing/2014/main" id="{84340244-898C-E24D-EC86-8E5E79A3A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10</xdr:col>
      <xdr:colOff>469900</xdr:colOff>
      <xdr:row>0</xdr:row>
      <xdr:rowOff>120651</xdr:rowOff>
    </xdr:from>
    <xdr:ext cx="5105400" cy="2381250"/>
    <xdr:sp macro="" textlink="">
      <xdr:nvSpPr>
        <xdr:cNvPr id="2" name="Shape 3">
          <a:extLst>
            <a:ext uri="{FF2B5EF4-FFF2-40B4-BE49-F238E27FC236}">
              <a16:creationId xmlns:a16="http://schemas.microsoft.com/office/drawing/2014/main" id="{5BA7E825-7F9D-44F6-8581-6E8FC51E6523}"/>
            </a:ext>
          </a:extLst>
        </xdr:cNvPr>
        <xdr:cNvSpPr txBox="1"/>
      </xdr:nvSpPr>
      <xdr:spPr>
        <a:xfrm>
          <a:off x="6877050" y="120651"/>
          <a:ext cx="5105400" cy="23812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6. The following table includes 20 observations for two quantitative variables x, and y.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Create a scatter chart for these 20 observations.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Fit a linear trendline to the 20 observation. What can you say about the relationship between the two quantitative variables?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3</xdr:col>
      <xdr:colOff>358775</xdr:colOff>
      <xdr:row>1</xdr:row>
      <xdr:rowOff>31750</xdr:rowOff>
    </xdr:from>
    <xdr:to>
      <xdr:col>10</xdr:col>
      <xdr:colOff>196850</xdr:colOff>
      <xdr:row>12</xdr:row>
      <xdr:rowOff>177800</xdr:rowOff>
    </xdr:to>
    <xdr:graphicFrame macro="">
      <xdr:nvGraphicFramePr>
        <xdr:cNvPr id="3" name="Chart 2">
          <a:extLst>
            <a:ext uri="{FF2B5EF4-FFF2-40B4-BE49-F238E27FC236}">
              <a16:creationId xmlns:a16="http://schemas.microsoft.com/office/drawing/2014/main" id="{E611321E-6CA7-EA9E-FD98-738640F3A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h Wendt" refreshedDate="45564.900579745372" createdVersion="8" refreshedVersion="8" minRefreshableVersion="3" recordCount="20" xr:uid="{F47350B7-B3B2-47A9-865E-B5EBCC6F776B}">
  <cacheSource type="worksheet">
    <worksheetSource ref="A1:B21" sheet="Question 5"/>
  </cacheSource>
  <cacheFields count="2">
    <cacheField name="Franchise" numFmtId="0">
      <sharedItems count="20">
        <s v="Hampton Inns"/>
        <s v="ampm"/>
        <s v="McDonald's"/>
        <s v="7-Eleven, Inc."/>
        <s v="Supercuts"/>
        <s v="Days Inn"/>
        <s v="Vanguard Cleaning Systems"/>
        <s v="Servpro"/>
        <s v="Subway"/>
        <s v="Denny's Inc."/>
        <s v="Jan-Pro Franchising Intl Inc."/>
        <s v="Hardee's"/>
        <s v="Pizza Hut Inc."/>
        <s v="Kumon Math &amp; Reading Centers"/>
        <s v="Dunkin' Donuts"/>
        <s v="KFC Corp."/>
        <s v="Jazzercise Inc."/>
        <s v="Anytime Fitness"/>
        <s v="Matco Tools"/>
        <s v="Stratus Building Solutions"/>
      </sharedItems>
    </cacheField>
    <cacheField name="# U.S. Locations" numFmtId="165">
      <sharedItems containsSemiMixedTypes="0" containsString="0" containsNumber="1" containsInteger="1" minValue="1431" maxValue="374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864"/>
  </r>
  <r>
    <x v="1"/>
    <n v="3183"/>
  </r>
  <r>
    <x v="2"/>
    <n v="32805"/>
  </r>
  <r>
    <x v="3"/>
    <n v="37496"/>
  </r>
  <r>
    <x v="4"/>
    <n v="2130"/>
  </r>
  <r>
    <x v="5"/>
    <n v="1877"/>
  </r>
  <r>
    <x v="6"/>
    <n v="2155"/>
  </r>
  <r>
    <x v="7"/>
    <n v="1572"/>
  </r>
  <r>
    <x v="8"/>
    <n v="34871"/>
  </r>
  <r>
    <x v="9"/>
    <n v="1668"/>
  </r>
  <r>
    <x v="10"/>
    <n v="12394"/>
  </r>
  <r>
    <x v="11"/>
    <n v="1901"/>
  </r>
  <r>
    <x v="12"/>
    <n v="13281"/>
  </r>
  <r>
    <x v="13"/>
    <n v="25199"/>
  </r>
  <r>
    <x v="14"/>
    <n v="9947"/>
  </r>
  <r>
    <x v="15"/>
    <n v="16224"/>
  </r>
  <r>
    <x v="16"/>
    <n v="7683"/>
  </r>
  <r>
    <x v="17"/>
    <n v="1618"/>
  </r>
  <r>
    <x v="18"/>
    <n v="1431"/>
  </r>
  <r>
    <x v="19"/>
    <n v="5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CDFFB-EE9F-4D47-874A-2B96E0EA280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B44" firstHeaderRow="1" firstDataRow="1" firstDataCol="1"/>
  <pivotFields count="2">
    <pivotField axis="axisRow" showAll="0">
      <items count="21">
        <item x="3"/>
        <item x="1"/>
        <item x="17"/>
        <item x="5"/>
        <item x="9"/>
        <item x="14"/>
        <item x="0"/>
        <item x="11"/>
        <item x="10"/>
        <item x="16"/>
        <item x="15"/>
        <item x="13"/>
        <item x="18"/>
        <item x="2"/>
        <item x="12"/>
        <item x="7"/>
        <item x="19"/>
        <item x="8"/>
        <item x="4"/>
        <item x="6"/>
        <item t="default"/>
      </items>
    </pivotField>
    <pivotField dataField="1" numFmtId="165"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 U.S. Location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A44D-B331-4F4D-8345-6180675E97C8}">
  <dimension ref="A1:B6"/>
  <sheetViews>
    <sheetView workbookViewId="0">
      <selection activeCell="D6" sqref="D6"/>
    </sheetView>
  </sheetViews>
  <sheetFormatPr defaultRowHeight="14.5" x14ac:dyDescent="0.35"/>
  <cols>
    <col min="1" max="1" width="33" customWidth="1"/>
    <col min="2" max="2" width="17" customWidth="1"/>
  </cols>
  <sheetData>
    <row r="1" spans="1:2" x14ac:dyDescent="0.35">
      <c r="A1" s="1" t="s">
        <v>0</v>
      </c>
      <c r="B1" s="1" t="s">
        <v>1</v>
      </c>
    </row>
    <row r="2" spans="1:2" x14ac:dyDescent="0.35">
      <c r="A2" s="2" t="s">
        <v>2</v>
      </c>
      <c r="B2" s="3" t="s">
        <v>51</v>
      </c>
    </row>
    <row r="3" spans="1:2" x14ac:dyDescent="0.35">
      <c r="A3" s="2" t="s">
        <v>3</v>
      </c>
      <c r="B3" s="3" t="s">
        <v>50</v>
      </c>
    </row>
    <row r="4" spans="1:2" ht="58" x14ac:dyDescent="0.35">
      <c r="A4" s="2" t="s">
        <v>4</v>
      </c>
      <c r="B4" s="3" t="s">
        <v>50</v>
      </c>
    </row>
    <row r="5" spans="1:2" ht="29" x14ac:dyDescent="0.35">
      <c r="A5" s="2" t="s">
        <v>5</v>
      </c>
      <c r="B5" s="3" t="s">
        <v>51</v>
      </c>
    </row>
    <row r="6" spans="1:2" ht="72.5" x14ac:dyDescent="0.35">
      <c r="A6" s="2" t="s">
        <v>6</v>
      </c>
      <c r="B6" s="3" t="s">
        <v>50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F060-689A-49B6-A236-351E09228FB9}">
  <dimension ref="A1:G41"/>
  <sheetViews>
    <sheetView workbookViewId="0">
      <selection activeCell="H20" sqref="H20"/>
    </sheetView>
  </sheetViews>
  <sheetFormatPr defaultRowHeight="14.5" x14ac:dyDescent="0.35"/>
  <cols>
    <col min="3" max="3" width="13.36328125" bestFit="1" customWidth="1"/>
    <col min="5" max="5" width="16.6328125" bestFit="1" customWidth="1"/>
    <col min="6" max="7" width="16.453125" bestFit="1" customWidth="1"/>
  </cols>
  <sheetData>
    <row r="1" spans="1:7" ht="15.5" x14ac:dyDescent="0.35">
      <c r="A1" s="4" t="s">
        <v>7</v>
      </c>
      <c r="C1" t="s">
        <v>52</v>
      </c>
    </row>
    <row r="2" spans="1:7" x14ac:dyDescent="0.35">
      <c r="A2" s="5">
        <v>14</v>
      </c>
    </row>
    <row r="3" spans="1:7" x14ac:dyDescent="0.35">
      <c r="A3" s="5">
        <v>19</v>
      </c>
      <c r="C3" t="s">
        <v>62</v>
      </c>
      <c r="D3" s="15" t="s">
        <v>53</v>
      </c>
      <c r="E3" s="15" t="s">
        <v>54</v>
      </c>
      <c r="F3" s="15" t="s">
        <v>55</v>
      </c>
      <c r="G3" s="15" t="s">
        <v>56</v>
      </c>
    </row>
    <row r="4" spans="1:7" x14ac:dyDescent="0.35">
      <c r="A4" s="5">
        <v>24</v>
      </c>
      <c r="C4" s="15"/>
      <c r="D4" s="26" t="s">
        <v>81</v>
      </c>
      <c r="E4" s="17">
        <v>2</v>
      </c>
      <c r="F4" s="17">
        <f>E4/$E$9</f>
        <v>0.05</v>
      </c>
      <c r="G4" s="18">
        <v>0.05</v>
      </c>
    </row>
    <row r="5" spans="1:7" x14ac:dyDescent="0.35">
      <c r="A5" s="5">
        <v>19</v>
      </c>
      <c r="D5" s="16" t="s">
        <v>57</v>
      </c>
      <c r="E5">
        <v>8</v>
      </c>
      <c r="F5" s="17">
        <f>E5/$E$9</f>
        <v>0.2</v>
      </c>
      <c r="G5" s="18">
        <v>0.2</v>
      </c>
    </row>
    <row r="6" spans="1:7" x14ac:dyDescent="0.35">
      <c r="A6" s="5">
        <v>16</v>
      </c>
      <c r="D6" s="16" t="s">
        <v>58</v>
      </c>
      <c r="E6">
        <v>11</v>
      </c>
      <c r="F6" s="17">
        <f t="shared" ref="F6:F8" si="0">E6/$E$9</f>
        <v>0.27500000000000002</v>
      </c>
      <c r="G6" s="19">
        <v>0.27500000000000002</v>
      </c>
    </row>
    <row r="7" spans="1:7" x14ac:dyDescent="0.35">
      <c r="A7" s="5">
        <v>20</v>
      </c>
      <c r="D7" s="16" t="s">
        <v>59</v>
      </c>
      <c r="E7">
        <v>10</v>
      </c>
      <c r="F7" s="17">
        <f t="shared" si="0"/>
        <v>0.25</v>
      </c>
      <c r="G7" s="18">
        <v>0.25</v>
      </c>
    </row>
    <row r="8" spans="1:7" x14ac:dyDescent="0.35">
      <c r="A8" s="5">
        <v>24</v>
      </c>
      <c r="D8" s="16" t="s">
        <v>60</v>
      </c>
      <c r="E8">
        <v>9</v>
      </c>
      <c r="F8" s="17">
        <f t="shared" si="0"/>
        <v>0.22500000000000001</v>
      </c>
      <c r="G8" s="19">
        <v>0.22500000000000001</v>
      </c>
    </row>
    <row r="9" spans="1:7" x14ac:dyDescent="0.35">
      <c r="A9" s="5">
        <v>20</v>
      </c>
      <c r="D9" s="16" t="s">
        <v>61</v>
      </c>
      <c r="E9">
        <f>SUM(E4:E8)</f>
        <v>40</v>
      </c>
      <c r="F9" s="17">
        <f>SUM(F4:F8)</f>
        <v>1</v>
      </c>
    </row>
    <row r="10" spans="1:7" x14ac:dyDescent="0.35">
      <c r="A10" s="5">
        <v>21</v>
      </c>
    </row>
    <row r="11" spans="1:7" x14ac:dyDescent="0.35">
      <c r="A11" s="5">
        <v>22</v>
      </c>
      <c r="C11" t="s">
        <v>63</v>
      </c>
    </row>
    <row r="12" spans="1:7" x14ac:dyDescent="0.35">
      <c r="A12" s="5">
        <v>24</v>
      </c>
      <c r="C12" s="16"/>
    </row>
    <row r="13" spans="1:7" x14ac:dyDescent="0.35">
      <c r="A13" s="5">
        <v>18</v>
      </c>
    </row>
    <row r="14" spans="1:7" x14ac:dyDescent="0.35">
      <c r="A14" s="5">
        <v>17</v>
      </c>
    </row>
    <row r="15" spans="1:7" x14ac:dyDescent="0.35">
      <c r="A15" s="5">
        <v>23</v>
      </c>
    </row>
    <row r="16" spans="1:7" x14ac:dyDescent="0.35">
      <c r="A16" s="5">
        <v>26</v>
      </c>
    </row>
    <row r="17" spans="1:7" x14ac:dyDescent="0.35">
      <c r="A17" s="5">
        <v>22</v>
      </c>
    </row>
    <row r="18" spans="1:7" x14ac:dyDescent="0.35">
      <c r="A18" s="5">
        <v>23</v>
      </c>
    </row>
    <row r="19" spans="1:7" x14ac:dyDescent="0.35">
      <c r="A19" s="5">
        <v>25</v>
      </c>
    </row>
    <row r="20" spans="1:7" x14ac:dyDescent="0.35">
      <c r="A20" s="5">
        <v>25</v>
      </c>
    </row>
    <row r="21" spans="1:7" x14ac:dyDescent="0.35">
      <c r="A21" s="5">
        <v>19</v>
      </c>
    </row>
    <row r="22" spans="1:7" x14ac:dyDescent="0.35">
      <c r="A22" s="5">
        <v>18</v>
      </c>
    </row>
    <row r="23" spans="1:7" x14ac:dyDescent="0.35">
      <c r="A23" s="5">
        <v>16</v>
      </c>
    </row>
    <row r="24" spans="1:7" x14ac:dyDescent="0.35">
      <c r="A24" s="5">
        <v>15</v>
      </c>
    </row>
    <row r="25" spans="1:7" x14ac:dyDescent="0.35">
      <c r="A25" s="5">
        <v>24</v>
      </c>
    </row>
    <row r="26" spans="1:7" x14ac:dyDescent="0.35">
      <c r="A26" s="5">
        <v>21</v>
      </c>
      <c r="C26" t="s">
        <v>64</v>
      </c>
      <c r="D26" t="s">
        <v>77</v>
      </c>
      <c r="E26" t="s">
        <v>78</v>
      </c>
      <c r="F26" t="s">
        <v>79</v>
      </c>
      <c r="G26" t="s">
        <v>80</v>
      </c>
    </row>
    <row r="27" spans="1:7" x14ac:dyDescent="0.35">
      <c r="A27" s="5">
        <v>16</v>
      </c>
      <c r="D27">
        <f>_xlfn.PERCENTILE.EXC(A2:A41,0.2)</f>
        <v>16</v>
      </c>
      <c r="E27">
        <f>_xlfn.PERCENTILE.EXC(A2:A41,0.25)</f>
        <v>17.25</v>
      </c>
      <c r="F27">
        <f>_xlfn.PERCENTILE.EXC(A2:A41,0.65)</f>
        <v>22</v>
      </c>
      <c r="G27">
        <f>_xlfn.PERCENTILE.EXC(A2:A41,0.75)</f>
        <v>23</v>
      </c>
    </row>
    <row r="28" spans="1:7" x14ac:dyDescent="0.35">
      <c r="A28" s="5">
        <v>19</v>
      </c>
    </row>
    <row r="29" spans="1:7" x14ac:dyDescent="0.35">
      <c r="A29" s="5">
        <v>21</v>
      </c>
    </row>
    <row r="30" spans="1:7" x14ac:dyDescent="0.35">
      <c r="A30" s="5">
        <v>23</v>
      </c>
    </row>
    <row r="31" spans="1:7" x14ac:dyDescent="0.35">
      <c r="A31" s="5">
        <v>20</v>
      </c>
    </row>
    <row r="32" spans="1:7" x14ac:dyDescent="0.35">
      <c r="A32" s="5">
        <v>22</v>
      </c>
    </row>
    <row r="33" spans="1:1" x14ac:dyDescent="0.35">
      <c r="A33" s="5">
        <v>22</v>
      </c>
    </row>
    <row r="34" spans="1:1" x14ac:dyDescent="0.35">
      <c r="A34" s="5">
        <v>16</v>
      </c>
    </row>
    <row r="35" spans="1:1" x14ac:dyDescent="0.35">
      <c r="A35" s="5">
        <v>16</v>
      </c>
    </row>
    <row r="36" spans="1:1" x14ac:dyDescent="0.35">
      <c r="A36" s="5">
        <v>16</v>
      </c>
    </row>
    <row r="37" spans="1:1" x14ac:dyDescent="0.35">
      <c r="A37" s="5">
        <v>12</v>
      </c>
    </row>
    <row r="38" spans="1:1" x14ac:dyDescent="0.35">
      <c r="A38" s="5">
        <v>25</v>
      </c>
    </row>
    <row r="39" spans="1:1" x14ac:dyDescent="0.35">
      <c r="A39" s="5">
        <v>19</v>
      </c>
    </row>
    <row r="40" spans="1:1" x14ac:dyDescent="0.35">
      <c r="A40" s="5">
        <v>24</v>
      </c>
    </row>
    <row r="41" spans="1:1" x14ac:dyDescent="0.35">
      <c r="A41" s="5">
        <v>20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9814-E0CC-4943-B6FC-EA20EE093F74}">
  <dimension ref="A1:C15"/>
  <sheetViews>
    <sheetView workbookViewId="0">
      <selection activeCell="D16" sqref="D16"/>
    </sheetView>
  </sheetViews>
  <sheetFormatPr defaultRowHeight="14.5" x14ac:dyDescent="0.35"/>
  <sheetData>
    <row r="1" spans="1:3" ht="15.5" x14ac:dyDescent="0.35">
      <c r="A1" s="6" t="s">
        <v>8</v>
      </c>
      <c r="B1" s="7" t="s">
        <v>9</v>
      </c>
      <c r="C1" s="6" t="s">
        <v>10</v>
      </c>
    </row>
    <row r="2" spans="1:3" ht="15.5" x14ac:dyDescent="0.35">
      <c r="A2" s="8">
        <v>1</v>
      </c>
      <c r="B2" s="8">
        <v>11000</v>
      </c>
      <c r="C2" s="8">
        <v>5600</v>
      </c>
    </row>
    <row r="3" spans="1:3" ht="15.5" x14ac:dyDescent="0.35">
      <c r="A3" s="8">
        <v>2</v>
      </c>
      <c r="B3" s="8">
        <v>12000</v>
      </c>
      <c r="C3" s="8">
        <v>6300</v>
      </c>
    </row>
    <row r="4" spans="1:3" ht="15.5" x14ac:dyDescent="0.35">
      <c r="A4" s="8">
        <v>3</v>
      </c>
      <c r="B4" s="8">
        <v>13000</v>
      </c>
      <c r="C4" s="8">
        <v>6900</v>
      </c>
    </row>
    <row r="5" spans="1:3" ht="15.5" x14ac:dyDescent="0.35">
      <c r="A5" s="8">
        <v>4</v>
      </c>
      <c r="B5" s="8">
        <v>14000</v>
      </c>
      <c r="C5" s="8">
        <v>7600</v>
      </c>
    </row>
    <row r="6" spans="1:3" ht="15.5" x14ac:dyDescent="0.35">
      <c r="A6" s="8">
        <v>5</v>
      </c>
      <c r="B6" s="8">
        <v>15000</v>
      </c>
      <c r="C6" s="8">
        <v>8500</v>
      </c>
    </row>
    <row r="7" spans="1:3" ht="15.5" x14ac:dyDescent="0.35">
      <c r="A7" s="8">
        <v>6</v>
      </c>
      <c r="B7" s="8">
        <v>16000</v>
      </c>
      <c r="C7" s="8">
        <v>9200</v>
      </c>
    </row>
    <row r="8" spans="1:3" ht="15.5" x14ac:dyDescent="0.35">
      <c r="A8" s="8">
        <v>7</v>
      </c>
      <c r="B8" s="8">
        <v>17000</v>
      </c>
      <c r="C8" s="8">
        <v>9900</v>
      </c>
    </row>
    <row r="9" spans="1:3" ht="15.5" x14ac:dyDescent="0.35">
      <c r="A9" s="8">
        <v>8</v>
      </c>
      <c r="B9" s="8">
        <v>18000</v>
      </c>
      <c r="C9" s="8">
        <v>10600</v>
      </c>
    </row>
    <row r="11" spans="1:3" x14ac:dyDescent="0.35">
      <c r="A11" s="15" t="s">
        <v>66</v>
      </c>
      <c r="B11" t="s">
        <v>68</v>
      </c>
    </row>
    <row r="12" spans="1:3" x14ac:dyDescent="0.35">
      <c r="A12" s="15" t="s">
        <v>67</v>
      </c>
      <c r="B12" t="s">
        <v>69</v>
      </c>
    </row>
    <row r="14" spans="1:3" x14ac:dyDescent="0.35">
      <c r="A14" t="s">
        <v>65</v>
      </c>
      <c r="B14" t="s">
        <v>70</v>
      </c>
    </row>
    <row r="15" spans="1:3" x14ac:dyDescent="0.35">
      <c r="B15" t="s">
        <v>71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55A6-6D91-430E-953E-83F77C249245}">
  <dimension ref="A1:E11"/>
  <sheetViews>
    <sheetView topLeftCell="A7" workbookViewId="0">
      <selection activeCell="E11" sqref="E11"/>
    </sheetView>
  </sheetViews>
  <sheetFormatPr defaultRowHeight="14.5" x14ac:dyDescent="0.35"/>
  <cols>
    <col min="1" max="1" width="19.54296875" customWidth="1"/>
    <col min="2" max="2" width="18" customWidth="1"/>
    <col min="3" max="3" width="47.1796875" customWidth="1"/>
    <col min="4" max="4" width="23.81640625" customWidth="1"/>
    <col min="5" max="5" width="23.1796875" customWidth="1"/>
  </cols>
  <sheetData>
    <row r="1" spans="1:5" ht="15.5" x14ac:dyDescent="0.35">
      <c r="A1" s="9" t="s">
        <v>11</v>
      </c>
      <c r="B1" s="9" t="s">
        <v>12</v>
      </c>
      <c r="C1" s="9" t="s">
        <v>13</v>
      </c>
      <c r="D1" s="9" t="s">
        <v>14</v>
      </c>
      <c r="E1" s="9" t="s">
        <v>15</v>
      </c>
    </row>
    <row r="2" spans="1:5" ht="15.5" x14ac:dyDescent="0.35">
      <c r="A2" s="20" t="s">
        <v>22</v>
      </c>
      <c r="B2" s="22">
        <v>379401.94</v>
      </c>
      <c r="C2" s="22">
        <v>27981.443200000002</v>
      </c>
      <c r="D2" s="20">
        <v>121</v>
      </c>
      <c r="E2" s="20">
        <v>12</v>
      </c>
    </row>
    <row r="3" spans="1:5" ht="15.5" x14ac:dyDescent="0.35">
      <c r="A3" s="20" t="s">
        <v>19</v>
      </c>
      <c r="B3" s="22">
        <v>87423.91</v>
      </c>
      <c r="C3" s="22">
        <v>7642.9011</v>
      </c>
      <c r="D3" s="20">
        <v>28</v>
      </c>
      <c r="E3" s="20">
        <v>3</v>
      </c>
    </row>
    <row r="4" spans="1:5" ht="15.5" x14ac:dyDescent="0.35">
      <c r="A4" s="20" t="s">
        <v>20</v>
      </c>
      <c r="B4" s="22">
        <v>87654.21</v>
      </c>
      <c r="C4" s="22">
        <v>1250.1393</v>
      </c>
      <c r="D4" s="20">
        <v>21</v>
      </c>
      <c r="E4" s="20">
        <v>4</v>
      </c>
    </row>
    <row r="5" spans="1:5" ht="15.5" x14ac:dyDescent="0.35">
      <c r="A5" s="20" t="s">
        <v>21</v>
      </c>
      <c r="B5" s="22">
        <v>234091.39</v>
      </c>
      <c r="C5" s="22">
        <v>14567.9833</v>
      </c>
      <c r="D5" s="20">
        <v>48</v>
      </c>
      <c r="E5" s="20">
        <v>9</v>
      </c>
    </row>
    <row r="6" spans="1:5" ht="15.5" x14ac:dyDescent="0.35">
      <c r="A6" s="20" t="s">
        <v>18</v>
      </c>
      <c r="B6" s="22">
        <v>452359.19</v>
      </c>
      <c r="C6" s="22">
        <v>21987.246200000001</v>
      </c>
      <c r="D6" s="20">
        <v>175</v>
      </c>
      <c r="E6" s="20">
        <v>21</v>
      </c>
    </row>
    <row r="7" spans="1:5" ht="15.5" x14ac:dyDescent="0.35">
      <c r="A7" s="20" t="s">
        <v>16</v>
      </c>
      <c r="B7" s="22">
        <v>325000.78000000003</v>
      </c>
      <c r="C7" s="22">
        <v>12499.3452</v>
      </c>
      <c r="D7" s="20">
        <v>124</v>
      </c>
      <c r="E7" s="20">
        <v>14</v>
      </c>
    </row>
    <row r="8" spans="1:5" ht="15.5" x14ac:dyDescent="0.35">
      <c r="A8" s="20" t="s">
        <v>23</v>
      </c>
      <c r="B8" s="22">
        <v>31733.59</v>
      </c>
      <c r="C8" s="22">
        <v>672.91110000000003</v>
      </c>
      <c r="D8" s="20">
        <v>7</v>
      </c>
      <c r="E8" s="20">
        <v>1</v>
      </c>
    </row>
    <row r="9" spans="1:5" ht="15.5" x14ac:dyDescent="0.35">
      <c r="A9" s="20" t="s">
        <v>24</v>
      </c>
      <c r="B9" s="22">
        <v>127845.22</v>
      </c>
      <c r="C9" s="22">
        <v>13322.971299999999</v>
      </c>
      <c r="D9" s="20">
        <v>17</v>
      </c>
      <c r="E9" s="20">
        <v>3</v>
      </c>
    </row>
    <row r="10" spans="1:5" ht="15.5" x14ac:dyDescent="0.35">
      <c r="A10" s="20" t="s">
        <v>17</v>
      </c>
      <c r="B10" s="22">
        <v>13678.21</v>
      </c>
      <c r="C10" s="22">
        <v>239.9434</v>
      </c>
      <c r="D10" s="20">
        <v>9</v>
      </c>
      <c r="E10" s="20">
        <v>7</v>
      </c>
    </row>
    <row r="11" spans="1:5" x14ac:dyDescent="0.35">
      <c r="B11">
        <f>AVERAGE(B2:B10)</f>
        <v>193243.16</v>
      </c>
      <c r="C11" s="21">
        <f>AVERAGE(C2:C10)</f>
        <v>11129.431566666668</v>
      </c>
      <c r="D11">
        <f>AVERAGE(D2:D10)</f>
        <v>61.111111111111114</v>
      </c>
    </row>
  </sheetData>
  <sortState xmlns:xlrd2="http://schemas.microsoft.com/office/spreadsheetml/2017/richdata2" ref="A2:E10">
    <sortCondition ref="A2:A10"/>
  </sortState>
  <conditionalFormatting sqref="B2:B10">
    <cfRule type="cellIs" dxfId="2" priority="3" operator="greaterThan">
      <formula>$B$11</formula>
    </cfRule>
  </conditionalFormatting>
  <conditionalFormatting sqref="C2:C10">
    <cfRule type="cellIs" dxfId="1" priority="2" operator="greaterThan">
      <formula>$C$11</formula>
    </cfRule>
  </conditionalFormatting>
  <conditionalFormatting sqref="D2:D10">
    <cfRule type="cellIs" dxfId="0" priority="1" operator="greaterThan">
      <formula>61</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3B73-8C33-4723-9912-7A5475C662CD}">
  <dimension ref="A1:D44"/>
  <sheetViews>
    <sheetView workbookViewId="0">
      <selection activeCell="A45" sqref="A45"/>
    </sheetView>
  </sheetViews>
  <sheetFormatPr defaultRowHeight="14.5" x14ac:dyDescent="0.35"/>
  <cols>
    <col min="1" max="1" width="27.7265625" bestFit="1" customWidth="1"/>
    <col min="2" max="2" width="20.36328125" bestFit="1" customWidth="1"/>
  </cols>
  <sheetData>
    <row r="1" spans="1:4" ht="15.5" x14ac:dyDescent="0.35">
      <c r="A1" s="10" t="s">
        <v>25</v>
      </c>
      <c r="B1" s="11" t="s">
        <v>26</v>
      </c>
    </row>
    <row r="2" spans="1:4" x14ac:dyDescent="0.35">
      <c r="A2" t="s">
        <v>27</v>
      </c>
      <c r="B2" s="12">
        <v>1864</v>
      </c>
      <c r="D2" t="s">
        <v>76</v>
      </c>
    </row>
    <row r="3" spans="1:4" x14ac:dyDescent="0.35">
      <c r="A3" t="s">
        <v>28</v>
      </c>
      <c r="B3" s="12">
        <v>3183</v>
      </c>
    </row>
    <row r="4" spans="1:4" x14ac:dyDescent="0.35">
      <c r="A4" t="s">
        <v>29</v>
      </c>
      <c r="B4" s="12">
        <v>32805</v>
      </c>
      <c r="D4" t="s">
        <v>75</v>
      </c>
    </row>
    <row r="5" spans="1:4" x14ac:dyDescent="0.35">
      <c r="A5" t="s">
        <v>30</v>
      </c>
      <c r="B5" s="12">
        <v>37496</v>
      </c>
    </row>
    <row r="6" spans="1:4" x14ac:dyDescent="0.35">
      <c r="A6" t="s">
        <v>31</v>
      </c>
      <c r="B6" s="12">
        <v>2130</v>
      </c>
    </row>
    <row r="7" spans="1:4" x14ac:dyDescent="0.35">
      <c r="A7" t="s">
        <v>32</v>
      </c>
      <c r="B7" s="12">
        <v>1877</v>
      </c>
    </row>
    <row r="8" spans="1:4" x14ac:dyDescent="0.35">
      <c r="A8" t="s">
        <v>33</v>
      </c>
      <c r="B8" s="12">
        <v>2155</v>
      </c>
    </row>
    <row r="9" spans="1:4" x14ac:dyDescent="0.35">
      <c r="A9" t="s">
        <v>34</v>
      </c>
      <c r="B9" s="12">
        <v>1572</v>
      </c>
    </row>
    <row r="10" spans="1:4" x14ac:dyDescent="0.35">
      <c r="A10" t="s">
        <v>35</v>
      </c>
      <c r="B10" s="12">
        <v>34871</v>
      </c>
    </row>
    <row r="11" spans="1:4" x14ac:dyDescent="0.35">
      <c r="A11" t="s">
        <v>36</v>
      </c>
      <c r="B11" s="12">
        <v>1668</v>
      </c>
    </row>
    <row r="12" spans="1:4" x14ac:dyDescent="0.35">
      <c r="A12" t="s">
        <v>37</v>
      </c>
      <c r="B12" s="12">
        <v>12394</v>
      </c>
    </row>
    <row r="13" spans="1:4" x14ac:dyDescent="0.35">
      <c r="A13" t="s">
        <v>38</v>
      </c>
      <c r="B13" s="12">
        <v>1901</v>
      </c>
    </row>
    <row r="14" spans="1:4" x14ac:dyDescent="0.35">
      <c r="A14" t="s">
        <v>39</v>
      </c>
      <c r="B14" s="12">
        <v>13281</v>
      </c>
    </row>
    <row r="15" spans="1:4" x14ac:dyDescent="0.35">
      <c r="A15" t="s">
        <v>40</v>
      </c>
      <c r="B15" s="12">
        <v>25199</v>
      </c>
    </row>
    <row r="16" spans="1:4" x14ac:dyDescent="0.35">
      <c r="A16" t="s">
        <v>41</v>
      </c>
      <c r="B16" s="12">
        <v>9947</v>
      </c>
    </row>
    <row r="17" spans="1:2" x14ac:dyDescent="0.35">
      <c r="A17" t="s">
        <v>42</v>
      </c>
      <c r="B17" s="12">
        <v>16224</v>
      </c>
    </row>
    <row r="18" spans="1:2" x14ac:dyDescent="0.35">
      <c r="A18" t="s">
        <v>43</v>
      </c>
      <c r="B18" s="12">
        <v>7683</v>
      </c>
    </row>
    <row r="19" spans="1:2" x14ac:dyDescent="0.35">
      <c r="A19" t="s">
        <v>44</v>
      </c>
      <c r="B19" s="12">
        <v>1618</v>
      </c>
    </row>
    <row r="20" spans="1:2" x14ac:dyDescent="0.35">
      <c r="A20" t="s">
        <v>45</v>
      </c>
      <c r="B20" s="12">
        <v>1431</v>
      </c>
    </row>
    <row r="21" spans="1:2" x14ac:dyDescent="0.35">
      <c r="A21" t="s">
        <v>46</v>
      </c>
      <c r="B21" s="12">
        <v>5018</v>
      </c>
    </row>
    <row r="23" spans="1:2" x14ac:dyDescent="0.35">
      <c r="A23" s="23" t="s">
        <v>72</v>
      </c>
      <c r="B23" t="s">
        <v>74</v>
      </c>
    </row>
    <row r="24" spans="1:2" x14ac:dyDescent="0.35">
      <c r="A24" s="24" t="s">
        <v>30</v>
      </c>
      <c r="B24" s="25">
        <v>37496</v>
      </c>
    </row>
    <row r="25" spans="1:2" x14ac:dyDescent="0.35">
      <c r="A25" s="24" t="s">
        <v>28</v>
      </c>
      <c r="B25" s="25">
        <v>3183</v>
      </c>
    </row>
    <row r="26" spans="1:2" x14ac:dyDescent="0.35">
      <c r="A26" s="24" t="s">
        <v>44</v>
      </c>
      <c r="B26" s="25">
        <v>1618</v>
      </c>
    </row>
    <row r="27" spans="1:2" x14ac:dyDescent="0.35">
      <c r="A27" s="24" t="s">
        <v>32</v>
      </c>
      <c r="B27" s="25">
        <v>1877</v>
      </c>
    </row>
    <row r="28" spans="1:2" x14ac:dyDescent="0.35">
      <c r="A28" s="24" t="s">
        <v>36</v>
      </c>
      <c r="B28" s="25">
        <v>1668</v>
      </c>
    </row>
    <row r="29" spans="1:2" x14ac:dyDescent="0.35">
      <c r="A29" s="24" t="s">
        <v>41</v>
      </c>
      <c r="B29" s="25">
        <v>9947</v>
      </c>
    </row>
    <row r="30" spans="1:2" x14ac:dyDescent="0.35">
      <c r="A30" s="24" t="s">
        <v>27</v>
      </c>
      <c r="B30" s="25">
        <v>1864</v>
      </c>
    </row>
    <row r="31" spans="1:2" x14ac:dyDescent="0.35">
      <c r="A31" s="24" t="s">
        <v>38</v>
      </c>
      <c r="B31" s="25">
        <v>1901</v>
      </c>
    </row>
    <row r="32" spans="1:2" x14ac:dyDescent="0.35">
      <c r="A32" s="24" t="s">
        <v>37</v>
      </c>
      <c r="B32" s="25">
        <v>12394</v>
      </c>
    </row>
    <row r="33" spans="1:2" x14ac:dyDescent="0.35">
      <c r="A33" s="24" t="s">
        <v>43</v>
      </c>
      <c r="B33" s="25">
        <v>7683</v>
      </c>
    </row>
    <row r="34" spans="1:2" x14ac:dyDescent="0.35">
      <c r="A34" s="24" t="s">
        <v>42</v>
      </c>
      <c r="B34" s="25">
        <v>16224</v>
      </c>
    </row>
    <row r="35" spans="1:2" x14ac:dyDescent="0.35">
      <c r="A35" s="24" t="s">
        <v>40</v>
      </c>
      <c r="B35" s="25">
        <v>25199</v>
      </c>
    </row>
    <row r="36" spans="1:2" x14ac:dyDescent="0.35">
      <c r="A36" s="24" t="s">
        <v>45</v>
      </c>
      <c r="B36" s="25">
        <v>1431</v>
      </c>
    </row>
    <row r="37" spans="1:2" x14ac:dyDescent="0.35">
      <c r="A37" s="24" t="s">
        <v>29</v>
      </c>
      <c r="B37" s="25">
        <v>32805</v>
      </c>
    </row>
    <row r="38" spans="1:2" x14ac:dyDescent="0.35">
      <c r="A38" s="24" t="s">
        <v>39</v>
      </c>
      <c r="B38" s="25">
        <v>13281</v>
      </c>
    </row>
    <row r="39" spans="1:2" x14ac:dyDescent="0.35">
      <c r="A39" s="24" t="s">
        <v>34</v>
      </c>
      <c r="B39" s="25">
        <v>1572</v>
      </c>
    </row>
    <row r="40" spans="1:2" x14ac:dyDescent="0.35">
      <c r="A40" s="24" t="s">
        <v>46</v>
      </c>
      <c r="B40" s="25">
        <v>5018</v>
      </c>
    </row>
    <row r="41" spans="1:2" x14ac:dyDescent="0.35">
      <c r="A41" s="24" t="s">
        <v>35</v>
      </c>
      <c r="B41" s="25">
        <v>34871</v>
      </c>
    </row>
    <row r="42" spans="1:2" x14ac:dyDescent="0.35">
      <c r="A42" s="24" t="s">
        <v>31</v>
      </c>
      <c r="B42" s="25">
        <v>2130</v>
      </c>
    </row>
    <row r="43" spans="1:2" x14ac:dyDescent="0.35">
      <c r="A43" s="24" t="s">
        <v>33</v>
      </c>
      <c r="B43" s="25">
        <v>2155</v>
      </c>
    </row>
    <row r="44" spans="1:2" x14ac:dyDescent="0.35">
      <c r="A44" s="24" t="s">
        <v>73</v>
      </c>
      <c r="B44" s="25">
        <v>214317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77E1-C0B9-4DDC-81EC-7AD5D1148C6C}">
  <dimension ref="A1:E21"/>
  <sheetViews>
    <sheetView tabSelected="1" topLeftCell="A6" workbookViewId="0">
      <selection activeCell="E15" sqref="E15"/>
    </sheetView>
  </sheetViews>
  <sheetFormatPr defaultRowHeight="14.5" x14ac:dyDescent="0.35"/>
  <cols>
    <col min="1" max="1" width="13.1796875" customWidth="1"/>
  </cols>
  <sheetData>
    <row r="1" spans="1:5" ht="15.5" x14ac:dyDescent="0.35">
      <c r="A1" s="4" t="s">
        <v>47</v>
      </c>
      <c r="B1" s="4" t="s">
        <v>48</v>
      </c>
      <c r="C1" s="4" t="s">
        <v>49</v>
      </c>
    </row>
    <row r="2" spans="1:5" ht="15.5" x14ac:dyDescent="0.35">
      <c r="A2" s="13">
        <v>1</v>
      </c>
      <c r="B2" s="14">
        <v>-22</v>
      </c>
      <c r="C2" s="14">
        <v>22</v>
      </c>
    </row>
    <row r="3" spans="1:5" ht="15.5" x14ac:dyDescent="0.35">
      <c r="A3" s="13">
        <v>2</v>
      </c>
      <c r="B3" s="14">
        <v>-33</v>
      </c>
      <c r="C3" s="14">
        <v>49</v>
      </c>
    </row>
    <row r="4" spans="1:5" ht="15.5" x14ac:dyDescent="0.35">
      <c r="A4" s="13">
        <v>3</v>
      </c>
      <c r="B4" s="14">
        <v>2</v>
      </c>
      <c r="C4" s="14">
        <v>8</v>
      </c>
    </row>
    <row r="5" spans="1:5" ht="15.5" x14ac:dyDescent="0.35">
      <c r="A5" s="13">
        <v>4</v>
      </c>
      <c r="B5" s="14">
        <v>29</v>
      </c>
      <c r="C5" s="14">
        <v>-16</v>
      </c>
    </row>
    <row r="6" spans="1:5" ht="15.5" x14ac:dyDescent="0.35">
      <c r="A6" s="13">
        <v>5</v>
      </c>
      <c r="B6" s="14">
        <v>-13</v>
      </c>
      <c r="C6" s="14">
        <v>10</v>
      </c>
    </row>
    <row r="7" spans="1:5" ht="15.5" x14ac:dyDescent="0.35">
      <c r="A7" s="13">
        <v>6</v>
      </c>
      <c r="B7" s="14">
        <v>21</v>
      </c>
      <c r="C7" s="14">
        <v>-28</v>
      </c>
    </row>
    <row r="8" spans="1:5" ht="15.5" x14ac:dyDescent="0.35">
      <c r="A8" s="13">
        <v>7</v>
      </c>
      <c r="B8" s="14">
        <v>-13</v>
      </c>
      <c r="C8" s="14">
        <v>27</v>
      </c>
    </row>
    <row r="9" spans="1:5" ht="15.5" x14ac:dyDescent="0.35">
      <c r="A9" s="13">
        <v>8</v>
      </c>
      <c r="B9" s="14">
        <v>-23</v>
      </c>
      <c r="C9" s="14">
        <v>35</v>
      </c>
    </row>
    <row r="10" spans="1:5" ht="15.5" x14ac:dyDescent="0.35">
      <c r="A10" s="13">
        <v>9</v>
      </c>
      <c r="B10" s="14">
        <v>14</v>
      </c>
      <c r="C10" s="14">
        <v>-5</v>
      </c>
    </row>
    <row r="11" spans="1:5" ht="15.5" x14ac:dyDescent="0.35">
      <c r="A11" s="13">
        <v>10</v>
      </c>
      <c r="B11" s="14">
        <v>3</v>
      </c>
      <c r="C11" s="14">
        <v>-3</v>
      </c>
    </row>
    <row r="12" spans="1:5" ht="15.5" x14ac:dyDescent="0.35">
      <c r="A12" s="13">
        <v>11</v>
      </c>
      <c r="B12" s="14">
        <v>-37</v>
      </c>
      <c r="C12" s="14">
        <v>48</v>
      </c>
    </row>
    <row r="13" spans="1:5" ht="15.5" x14ac:dyDescent="0.35">
      <c r="A13" s="13">
        <v>12</v>
      </c>
      <c r="B13" s="14">
        <v>34</v>
      </c>
      <c r="C13" s="14">
        <v>-29</v>
      </c>
    </row>
    <row r="14" spans="1:5" ht="15.5" x14ac:dyDescent="0.35">
      <c r="A14" s="13">
        <v>13</v>
      </c>
      <c r="B14" s="14">
        <v>9</v>
      </c>
      <c r="C14" s="14">
        <v>-18</v>
      </c>
    </row>
    <row r="15" spans="1:5" ht="15.5" x14ac:dyDescent="0.35">
      <c r="A15" s="13">
        <v>14</v>
      </c>
      <c r="B15" s="14">
        <v>-33</v>
      </c>
      <c r="C15" s="14">
        <v>31</v>
      </c>
      <c r="E15" t="s">
        <v>82</v>
      </c>
    </row>
    <row r="16" spans="1:5" ht="15.5" x14ac:dyDescent="0.35">
      <c r="A16" s="13">
        <v>15</v>
      </c>
      <c r="B16" s="14">
        <v>20</v>
      </c>
      <c r="C16" s="14">
        <v>-16</v>
      </c>
    </row>
    <row r="17" spans="1:3" ht="15.5" x14ac:dyDescent="0.35">
      <c r="A17" s="13">
        <v>16</v>
      </c>
      <c r="B17" s="14">
        <v>-3</v>
      </c>
      <c r="C17" s="14">
        <v>14</v>
      </c>
    </row>
    <row r="18" spans="1:3" ht="15.5" x14ac:dyDescent="0.35">
      <c r="A18" s="13">
        <v>17</v>
      </c>
      <c r="B18" s="14">
        <v>-15</v>
      </c>
      <c r="C18" s="14">
        <v>18</v>
      </c>
    </row>
    <row r="19" spans="1:3" ht="15.5" x14ac:dyDescent="0.35">
      <c r="A19" s="13">
        <v>18</v>
      </c>
      <c r="B19" s="14">
        <v>12</v>
      </c>
      <c r="C19" s="14">
        <v>17</v>
      </c>
    </row>
    <row r="20" spans="1:3" ht="15.5" x14ac:dyDescent="0.35">
      <c r="A20" s="13">
        <v>19</v>
      </c>
      <c r="B20" s="14">
        <v>-20</v>
      </c>
      <c r="C20" s="14">
        <v>-11</v>
      </c>
    </row>
    <row r="21" spans="1:3" ht="15.5" x14ac:dyDescent="0.35">
      <c r="A21" s="13">
        <v>20</v>
      </c>
      <c r="B21" s="14">
        <v>-7</v>
      </c>
      <c r="C21" s="14">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 1</vt:lpstr>
      <vt:lpstr>Question 2</vt:lpstr>
      <vt:lpstr>Question 3</vt:lpstr>
      <vt:lpstr>Question 4</vt:lpstr>
      <vt:lpstr>Question 5</vt:lpstr>
      <vt:lpstr>Question 6</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Jonah Wendt</cp:lastModifiedBy>
  <cp:lastPrinted>2024-09-30T03:19:34Z</cp:lastPrinted>
  <dcterms:created xsi:type="dcterms:W3CDTF">2023-09-18T13:39:57Z</dcterms:created>
  <dcterms:modified xsi:type="dcterms:W3CDTF">2024-09-30T03:35:37Z</dcterms:modified>
</cp:coreProperties>
</file>